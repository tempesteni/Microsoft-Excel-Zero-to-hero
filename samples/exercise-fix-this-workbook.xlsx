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Impact"/>
      <color rgb="00800080"/>
      <sz val="20"/>
    </font>
    <font>
      <name val="Calibri"/>
      <color rgb="00D9D9D9"/>
    </font>
    <font>
      <name val="Comic Sans MS"/>
    </font>
  </fonts>
  <fills count="10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0000"/>
      </patternFill>
    </fill>
    <fill>
      <patternFill patternType="solid">
        <fgColor rgb="00800080"/>
      </patternFill>
    </fill>
    <fill>
      <patternFill patternType="solid">
        <fgColor rgb="00FF8000"/>
      </patternFill>
    </fill>
    <fill>
      <patternFill patternType="solid">
        <fgColor rgb="00008000"/>
      </patternFill>
    </fill>
    <fill>
      <patternFill patternType="solid">
        <fgColor rgb="00008080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(why a pie?!)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'Charts'!$A$2:$A$13</f>
            </numRef>
          </cat>
          <val>
            <numRef>
              <f>'Charts'!$B$2:$B$13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growth (trust me)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'Charts'!$A$2:$A$13</f>
            </numRef>
          </cat>
          <val>
            <numRef>
              <f>'Charts'!$B$2:$B$13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2"/>
          <min val="78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Q2 RESULTS DASHBOARD</t>
        </is>
      </c>
    </row>
    <row r="3">
      <c r="A3" t="inlineStr">
        <is>
          <t>Total revenue (should be a formula!)</t>
        </is>
      </c>
      <c r="B3" t="n">
        <v>25</v>
      </c>
    </row>
    <row r="4">
      <c r="A4" t="inlineStr">
        <is>
          <t>Regional total (broken reference)</t>
        </is>
      </c>
      <c r="B4">
        <f>SUM(#REF!)</f>
        <v/>
      </c>
    </row>
    <row r="5">
      <c r="A5" t="inlineStr">
        <is>
          <t>Avg order value (divides by zero)</t>
        </is>
      </c>
      <c r="B5">
        <f>B6/B7</f>
        <v/>
      </c>
    </row>
    <row r="6">
      <c r="B6" t="n">
        <v>1250</v>
      </c>
    </row>
    <row r="7">
      <c r="B7" t="n">
        <v>0</v>
      </c>
    </row>
    <row r="10">
      <c r="A10" s="2" t="inlineStr">
        <is>
          <t>Notes: light gray on light yellow, good luck reading this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s="3" t="inlineStr">
        <is>
          <t>Customer</t>
        </is>
      </c>
      <c r="B1" s="4" t="inlineStr">
        <is>
          <t>Date</t>
        </is>
      </c>
      <c r="C1" s="5" t="inlineStr">
        <is>
          <t>Region(hidden col C!)</t>
        </is>
      </c>
      <c r="D1" s="6" t="inlineStr">
        <is>
          <t>Qty</t>
        </is>
      </c>
      <c r="E1" s="7" t="inlineStr">
        <is>
          <t>Amount</t>
        </is>
      </c>
      <c r="F1" s="8" t="n"/>
      <c r="G1" s="9" t="inlineStr">
        <is>
          <t>Notes</t>
        </is>
      </c>
    </row>
    <row r="2">
      <c r="A2" t="inlineStr">
        <is>
          <t xml:space="preserve">Northwind Traders </t>
        </is>
      </c>
      <c r="B2" s="10" t="inlineStr">
        <is>
          <t>03/05/2026</t>
        </is>
      </c>
      <c r="C2" t="inlineStr">
        <is>
          <t>correction: was 8</t>
        </is>
      </c>
      <c r="D2" s="11" t="inlineStr">
        <is>
          <t>10</t>
        </is>
      </c>
      <c r="E2" s="12">
        <f>E2</f>
        <v/>
      </c>
      <c r="G2" t="inlineStr">
        <is>
          <t>call again</t>
        </is>
      </c>
      <c r="H2" t="n">
        <v>250</v>
      </c>
    </row>
    <row r="3">
      <c r="A3" t="inlineStr">
        <is>
          <t>Redwood Labs</t>
        </is>
      </c>
      <c r="B3" s="10" t="inlineStr">
        <is>
          <t>03/06/2026</t>
        </is>
      </c>
      <c r="C3" t="inlineStr">
        <is>
          <t>ok</t>
        </is>
      </c>
      <c r="D3" s="11" t="inlineStr">
        <is>
          <t>4</t>
        </is>
      </c>
      <c r="E3" s="13" t="n">
        <v>130.5</v>
      </c>
      <c r="G3" t="inlineStr"/>
      <c r="H3" t="n">
        <v>522</v>
      </c>
    </row>
    <row r="4">
      <c r="A4" t="inlineStr">
        <is>
          <t>Northwind Traders</t>
        </is>
      </c>
      <c r="B4" s="10" t="inlineStr">
        <is>
          <t>03/07/2026</t>
        </is>
      </c>
      <c r="C4" t="inlineStr">
        <is>
          <t>ok</t>
        </is>
      </c>
      <c r="D4" s="11" t="inlineStr">
        <is>
          <t>25</t>
        </is>
      </c>
      <c r="E4" s="13" t="n">
        <v>625</v>
      </c>
      <c r="G4" t="inlineStr"/>
      <c r="H4" t="n">
        <v>625</v>
      </c>
    </row>
    <row r="5">
      <c r="A5" t="inlineStr">
        <is>
          <t xml:space="preserve">Harborline Credit Union </t>
        </is>
      </c>
      <c r="B5" s="10" t="inlineStr">
        <is>
          <t>03/08/2026</t>
        </is>
      </c>
      <c r="C5" t="inlineStr">
        <is>
          <t>check addr</t>
        </is>
      </c>
      <c r="D5" s="11" t="inlineStr">
        <is>
          <t>2</t>
        </is>
      </c>
      <c r="E5" s="12" t="n">
        <v>960</v>
      </c>
      <c r="G5" t="inlineStr"/>
      <c r="H5" t="n">
        <v>960</v>
      </c>
    </row>
    <row r="6">
      <c r="A6" t="inlineStr">
        <is>
          <t>Meridian Freight</t>
        </is>
      </c>
      <c r="B6" s="10" t="inlineStr">
        <is>
          <t>03/09/2026</t>
        </is>
      </c>
      <c r="C6" t="inlineStr">
        <is>
          <t>ok</t>
        </is>
      </c>
      <c r="D6" s="11" t="inlineStr">
        <is>
          <t>6</t>
        </is>
      </c>
      <c r="E6" s="12" t="n">
        <v>783</v>
      </c>
      <c r="G6" t="inlineStr"/>
      <c r="H6" t="n">
        <v>783</v>
      </c>
    </row>
    <row r="7">
      <c r="A7" t="inlineStr">
        <is>
          <t>Greenfield Literacy Trust</t>
        </is>
      </c>
      <c r="B7" s="10" t="inlineStr">
        <is>
          <t>03/10/2026</t>
        </is>
      </c>
      <c r="C7" t="inlineStr">
        <is>
          <t>ok</t>
        </is>
      </c>
      <c r="D7" s="11" t="inlineStr">
        <is>
          <t>15</t>
        </is>
      </c>
      <c r="E7" s="13" t="n">
        <v>375</v>
      </c>
      <c r="G7" t="inlineStr"/>
      <c r="H7" t="n">
        <v>375</v>
      </c>
    </row>
    <row r="8">
      <c r="A8" t="inlineStr">
        <is>
          <t>Northgate Institute</t>
        </is>
      </c>
      <c r="C8" t="inlineStr">
        <is>
          <t>ok</t>
        </is>
      </c>
      <c r="D8" s="11" t="inlineStr">
        <is>
          <t>1</t>
        </is>
      </c>
      <c r="E8" s="13" t="n">
        <v>480</v>
      </c>
      <c r="G8" t="inlineStr">
        <is>
          <t>TODO fix this</t>
        </is>
      </c>
      <c r="H8" t="n">
        <v>480</v>
      </c>
    </row>
    <row r="9">
      <c r="A9" t="inlineStr">
        <is>
          <t>VeloCabin</t>
        </is>
      </c>
      <c r="B9" s="10" t="inlineStr">
        <is>
          <t>03/12/2026</t>
        </is>
      </c>
      <c r="C9" t="inlineStr">
        <is>
          <t>ok</t>
        </is>
      </c>
      <c r="D9" s="11" t="inlineStr">
        <is>
          <t>8</t>
        </is>
      </c>
      <c r="E9" t="n">
        <v>1044</v>
      </c>
      <c r="G9" t="inlineStr"/>
      <c r="H9" t="n">
        <v>1044</v>
      </c>
    </row>
    <row r="10">
      <c r="A10" t="inlineStr">
        <is>
          <t>Northwind Traders</t>
        </is>
      </c>
      <c r="B10" s="10" t="inlineStr">
        <is>
          <t>03/07/2026</t>
        </is>
      </c>
      <c r="C10" t="inlineStr">
        <is>
          <t>ok</t>
        </is>
      </c>
      <c r="D10" s="11" t="inlineStr">
        <is>
          <t>25</t>
        </is>
      </c>
      <c r="E10" t="n">
        <v>625</v>
      </c>
      <c r="G10" t="inlineStr"/>
      <c r="H10" t="n">
        <v>625</v>
      </c>
    </row>
    <row r="11">
      <c r="A11" t="inlineStr">
        <is>
          <t xml:space="preserve">Harborline Credit Union </t>
        </is>
      </c>
      <c r="B11" s="10" t="inlineStr">
        <is>
          <t>03/08/2026</t>
        </is>
      </c>
      <c r="C11" t="inlineStr">
        <is>
          <t>check addr</t>
        </is>
      </c>
      <c r="D11" s="11" t="inlineStr">
        <is>
          <t>2</t>
        </is>
      </c>
      <c r="E11" t="n">
        <v>960</v>
      </c>
      <c r="G11" t="inlineStr"/>
      <c r="H11" t="n">
        <v>960</v>
      </c>
    </row>
    <row r="12">
      <c r="A12" t="inlineStr">
        <is>
          <t>Redwood Labs</t>
        </is>
      </c>
      <c r="B12" s="10" t="inlineStr">
        <is>
          <t>03/13/2026</t>
        </is>
      </c>
      <c r="C12" t="inlineStr">
        <is>
          <t>ok</t>
        </is>
      </c>
      <c r="D12" s="11" t="inlineStr">
        <is>
          <t>12</t>
        </is>
      </c>
      <c r="E12" t="n">
        <v>1566</v>
      </c>
      <c r="G12" t="inlineStr"/>
      <c r="H12" t="n">
        <v>1566</v>
      </c>
    </row>
    <row r="13">
      <c r="A13" t="inlineStr">
        <is>
          <t>Meridian Freight</t>
        </is>
      </c>
      <c r="B13" s="10" t="inlineStr">
        <is>
          <t>03/14/2026</t>
        </is>
      </c>
      <c r="C13" t="inlineStr">
        <is>
          <t>ok</t>
        </is>
      </c>
      <c r="D13" s="11" t="inlineStr">
        <is>
          <t>3</t>
        </is>
      </c>
      <c r="E13" t="n">
        <v>1440</v>
      </c>
      <c r="G13" t="inlineStr"/>
      <c r="H13" t="n">
        <v>1440</v>
      </c>
    </row>
    <row r="14">
      <c r="A14" t="inlineStr">
        <is>
          <t>Greenfield Literacy Trust</t>
        </is>
      </c>
      <c r="B14" s="10" t="inlineStr">
        <is>
          <t>03/15/2026</t>
        </is>
      </c>
      <c r="C14" t="inlineStr">
        <is>
          <t>ok</t>
        </is>
      </c>
      <c r="D14" s="11" t="inlineStr">
        <is>
          <t>7</t>
        </is>
      </c>
      <c r="E14" t="n">
        <v>913.5</v>
      </c>
      <c r="G14" t="inlineStr"/>
      <c r="H14" t="n">
        <v>913.5</v>
      </c>
    </row>
    <row r="16">
      <c r="A16" t="inlineStr">
        <is>
          <t>Grand total (check the range!)</t>
        </is>
      </c>
      <c r="H16">
        <f>SUM(H2:H12)</f>
        <v/>
      </c>
    </row>
  </sheetData>
  <mergeCells count="2">
    <mergeCell ref="A8:B8"/>
    <mergeCell ref="G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 the price for each SKU</t>
        </is>
      </c>
    </row>
    <row r="3">
      <c r="A3" t="inlineStr">
        <is>
          <t>SKU</t>
        </is>
      </c>
      <c r="B3" t="inlineStr">
        <is>
          <t>Price (VLOOKUP approx!)</t>
        </is>
      </c>
      <c r="D3" t="inlineStr">
        <is>
          <t>SKU</t>
        </is>
      </c>
      <c r="E3" t="inlineStr">
        <is>
          <t>Price</t>
        </is>
      </c>
    </row>
    <row r="4">
      <c r="A4" t="inlineStr">
        <is>
          <t>SKU-031</t>
        </is>
      </c>
      <c r="B4">
        <f>VLOOKUP(A4,$D$4:$E$8,2,TRUE)</f>
        <v/>
      </c>
      <c r="D4" t="inlineStr">
        <is>
          <t>SKU-010</t>
        </is>
      </c>
      <c r="E4" t="n">
        <v>95</v>
      </c>
    </row>
    <row r="5">
      <c r="A5" t="inlineStr">
        <is>
          <t>SKU-007</t>
        </is>
      </c>
      <c r="B5">
        <f>VLOOKUP(A5,$D$4:$E$8,2,TRUE)</f>
        <v/>
      </c>
      <c r="D5" t="inlineStr">
        <is>
          <t>SKU-002</t>
        </is>
      </c>
      <c r="E5" t="n">
        <v>40</v>
      </c>
    </row>
    <row r="6">
      <c r="A6" t="inlineStr">
        <is>
          <t>SKU-002</t>
        </is>
      </c>
      <c r="B6">
        <f>VLOOKUP(A6,$D$4:$E$8,2,TRUE)</f>
        <v/>
      </c>
      <c r="D6" t="inlineStr">
        <is>
          <t>SKU-031</t>
        </is>
      </c>
      <c r="E6" t="n">
        <v>260</v>
      </c>
    </row>
    <row r="7">
      <c r="D7" t="inlineStr">
        <is>
          <t>SKU-007</t>
        </is>
      </c>
      <c r="E7" t="n">
        <v>72</v>
      </c>
    </row>
    <row r="8">
      <c r="D8" t="inlineStr">
        <is>
          <t>SKU-022</t>
        </is>
      </c>
      <c r="E8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42</v>
      </c>
    </row>
    <row r="3">
      <c r="A3" t="inlineStr">
        <is>
          <t>Feb</t>
        </is>
      </c>
      <c r="B3" t="n">
        <v>51</v>
      </c>
    </row>
    <row r="4">
      <c r="A4" t="inlineStr">
        <is>
          <t>Mar</t>
        </is>
      </c>
      <c r="B4" t="n">
        <v>47</v>
      </c>
    </row>
    <row r="5">
      <c r="A5" t="inlineStr">
        <is>
          <t>Apr</t>
        </is>
      </c>
      <c r="B5" t="n">
        <v>63</v>
      </c>
    </row>
    <row r="6">
      <c r="A6" t="inlineStr">
        <is>
          <t>May</t>
        </is>
      </c>
      <c r="B6" t="n">
        <v>58</v>
      </c>
    </row>
    <row r="7">
      <c r="A7" t="inlineStr">
        <is>
          <t>Jun</t>
        </is>
      </c>
      <c r="B7" t="n">
        <v>71</v>
      </c>
    </row>
    <row r="8">
      <c r="A8" t="inlineStr">
        <is>
          <t>Jul</t>
        </is>
      </c>
      <c r="B8" t="n">
        <v>66</v>
      </c>
    </row>
    <row r="9">
      <c r="A9" t="inlineStr">
        <is>
          <t>Aug</t>
        </is>
      </c>
      <c r="B9" t="n">
        <v>74</v>
      </c>
    </row>
    <row r="10">
      <c r="A10" t="inlineStr">
        <is>
          <t>Sep</t>
        </is>
      </c>
      <c r="B10" t="n">
        <v>69</v>
      </c>
    </row>
    <row r="11">
      <c r="A11" t="inlineStr">
        <is>
          <t>Oct</t>
        </is>
      </c>
      <c r="B11" t="n">
        <v>82</v>
      </c>
    </row>
    <row r="12">
      <c r="A12" t="inlineStr">
        <is>
          <t>Nov</t>
        </is>
      </c>
      <c r="B12" t="n">
        <v>77</v>
      </c>
    </row>
    <row r="13">
      <c r="A13" t="inlineStr">
        <is>
          <t>Dec</t>
        </is>
      </c>
      <c r="B13" t="n">
        <v>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2026-09-22T13:39:50Z</dcterms:created>
  <dcterms:modified xmlns:dcterms="http://purl.org/dc/terms/" xmlns:xsi="http://www.w3.org/2001/XMLSchema-instance" xsi:type="dcterms:W3CDTF">2026-09-22T13:39:50Z</dcterms:modified>
</cp:coreProperties>
</file>