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llenges" sheetId="2" state="visible" r:id="rId2"/>
    <sheet xmlns:r="http://schemas.openxmlformats.org/officeDocument/2006/relationships" name="Answer Ke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1" customWidth="1" min="3" max="3"/>
    <col width="8" customWidth="1" min="4" max="4"/>
    <col width="13" customWidth="1" min="5" max="5"/>
    <col width="10" customWidth="1" min="6" max="6"/>
    <col width="13" customWidth="1" min="7" max="7"/>
  </cols>
  <sheetData>
    <row r="1">
      <c r="A1" s="1" t="inlineStr">
        <is>
          <t>Region</t>
        </is>
      </c>
      <c r="B1" s="1" t="inlineStr">
        <is>
          <t>Rep</t>
        </is>
      </c>
      <c r="C1" s="1" t="inlineStr">
        <is>
          <t>Product</t>
        </is>
      </c>
      <c r="D1" s="1" t="inlineStr">
        <is>
          <t>Units</t>
        </is>
      </c>
      <c r="E1" s="1" t="inlineStr">
        <is>
          <t>Unit Price</t>
        </is>
      </c>
      <c r="F1" s="1" t="inlineStr">
        <is>
          <t>Revenue</t>
        </is>
      </c>
      <c r="G1" s="1" t="inlineStr">
        <is>
          <t>Commission</t>
        </is>
      </c>
    </row>
    <row r="2">
      <c r="A2" t="inlineStr">
        <is>
          <t>North</t>
        </is>
      </c>
      <c r="B2" t="inlineStr">
        <is>
          <t>Sam Cole</t>
        </is>
      </c>
      <c r="C2" t="inlineStr">
        <is>
          <t>Widget C</t>
        </is>
      </c>
      <c r="D2" t="n">
        <v>4</v>
      </c>
      <c r="E2" t="n">
        <v>480</v>
      </c>
    </row>
    <row r="3">
      <c r="A3" t="inlineStr">
        <is>
          <t>South</t>
        </is>
      </c>
      <c r="B3" t="inlineStr">
        <is>
          <t>Jordan Ade</t>
        </is>
      </c>
      <c r="C3" t="inlineStr">
        <is>
          <t>Widget A</t>
        </is>
      </c>
      <c r="D3" t="n">
        <v>8</v>
      </c>
      <c r="E3" t="n">
        <v>25</v>
      </c>
    </row>
    <row r="4">
      <c r="A4" t="inlineStr">
        <is>
          <t>North</t>
        </is>
      </c>
      <c r="B4" t="inlineStr">
        <is>
          <t>Riley Chen</t>
        </is>
      </c>
      <c r="C4" t="inlineStr">
        <is>
          <t>Widget C</t>
        </is>
      </c>
      <c r="D4" t="n">
        <v>24</v>
      </c>
      <c r="E4" t="n">
        <v>480</v>
      </c>
    </row>
    <row r="5">
      <c r="A5" t="inlineStr">
        <is>
          <t>North</t>
        </is>
      </c>
      <c r="B5" t="inlineStr">
        <is>
          <t>Mina Okafor</t>
        </is>
      </c>
      <c r="C5" t="inlineStr">
        <is>
          <t>Widget A</t>
        </is>
      </c>
      <c r="D5" t="n">
        <v>1</v>
      </c>
      <c r="E5" t="n">
        <v>25</v>
      </c>
    </row>
    <row r="6">
      <c r="A6" t="inlineStr">
        <is>
          <t>North</t>
        </is>
      </c>
      <c r="B6" t="inlineStr">
        <is>
          <t>Mina Okafor</t>
        </is>
      </c>
      <c r="C6" t="inlineStr">
        <is>
          <t>Widget A</t>
        </is>
      </c>
      <c r="D6" t="n">
        <v>17</v>
      </c>
      <c r="E6" t="n">
        <v>25</v>
      </c>
    </row>
    <row r="7">
      <c r="A7" t="inlineStr">
        <is>
          <t>West</t>
        </is>
      </c>
      <c r="B7" t="inlineStr">
        <is>
          <t>Mina Okafor</t>
        </is>
      </c>
      <c r="C7" t="inlineStr">
        <is>
          <t>Widget C</t>
        </is>
      </c>
      <c r="D7" t="n">
        <v>21</v>
      </c>
      <c r="E7" t="n">
        <v>480</v>
      </c>
    </row>
    <row r="8">
      <c r="A8" t="inlineStr">
        <is>
          <t>East</t>
        </is>
      </c>
      <c r="B8" t="inlineStr">
        <is>
          <t>Jordan Ade</t>
        </is>
      </c>
      <c r="C8" t="inlineStr">
        <is>
          <t>Widget B</t>
        </is>
      </c>
      <c r="D8" t="n">
        <v>19</v>
      </c>
      <c r="E8" t="n">
        <v>130.5</v>
      </c>
    </row>
    <row r="9">
      <c r="A9" t="inlineStr">
        <is>
          <t>West</t>
        </is>
      </c>
      <c r="B9" t="inlineStr">
        <is>
          <t>Sam Cole</t>
        </is>
      </c>
      <c r="C9" t="inlineStr">
        <is>
          <t>Widget A</t>
        </is>
      </c>
      <c r="D9" t="n">
        <v>23</v>
      </c>
      <c r="E9" t="n">
        <v>25</v>
      </c>
    </row>
    <row r="10">
      <c r="A10" t="inlineStr">
        <is>
          <t>South</t>
        </is>
      </c>
      <c r="B10" t="inlineStr">
        <is>
          <t>Sam Cole</t>
        </is>
      </c>
      <c r="C10" t="inlineStr">
        <is>
          <t>Widget B</t>
        </is>
      </c>
      <c r="D10" t="n">
        <v>5</v>
      </c>
      <c r="E10" t="n">
        <v>130.5</v>
      </c>
    </row>
    <row r="11">
      <c r="A11" t="inlineStr">
        <is>
          <t>West</t>
        </is>
      </c>
      <c r="B11" t="inlineStr">
        <is>
          <t>Jordan Ade</t>
        </is>
      </c>
      <c r="C11" t="inlineStr">
        <is>
          <t>Widget A</t>
        </is>
      </c>
      <c r="D11" t="n">
        <v>3</v>
      </c>
      <c r="E11" t="n">
        <v>25</v>
      </c>
    </row>
    <row r="12">
      <c r="A12" t="inlineStr">
        <is>
          <t>East</t>
        </is>
      </c>
      <c r="B12" t="inlineStr">
        <is>
          <t>Sam Cole</t>
        </is>
      </c>
      <c r="C12" t="inlineStr">
        <is>
          <t>Widget B</t>
        </is>
      </c>
      <c r="D12" t="n">
        <v>28</v>
      </c>
      <c r="E12" t="n">
        <v>130.5</v>
      </c>
    </row>
    <row r="13">
      <c r="A13" t="inlineStr">
        <is>
          <t>West</t>
        </is>
      </c>
      <c r="B13" t="inlineStr">
        <is>
          <t>Jordan Ade</t>
        </is>
      </c>
      <c r="C13" t="inlineStr">
        <is>
          <t>Widget A</t>
        </is>
      </c>
      <c r="D13" t="n">
        <v>24</v>
      </c>
      <c r="E13" t="n">
        <v>25</v>
      </c>
    </row>
    <row r="14">
      <c r="A14" t="inlineStr">
        <is>
          <t>East</t>
        </is>
      </c>
      <c r="B14" t="inlineStr">
        <is>
          <t>Sam Cole</t>
        </is>
      </c>
      <c r="C14" t="inlineStr">
        <is>
          <t>Widget B</t>
        </is>
      </c>
      <c r="D14" t="n">
        <v>3</v>
      </c>
      <c r="E14" t="n">
        <v>130.5</v>
      </c>
    </row>
    <row r="15">
      <c r="A15" t="inlineStr">
        <is>
          <t>North</t>
        </is>
      </c>
      <c r="B15" t="inlineStr">
        <is>
          <t>Jordan Ade</t>
        </is>
      </c>
      <c r="C15" t="inlineStr">
        <is>
          <t>Widget C</t>
        </is>
      </c>
      <c r="D15" t="n">
        <v>7</v>
      </c>
      <c r="E15" t="n">
        <v>480</v>
      </c>
    </row>
    <row r="16">
      <c r="A16" t="inlineStr">
        <is>
          <t>East</t>
        </is>
      </c>
      <c r="B16" t="inlineStr">
        <is>
          <t>Jordan Ade</t>
        </is>
      </c>
      <c r="C16" t="inlineStr">
        <is>
          <t>Widget C</t>
        </is>
      </c>
      <c r="D16" t="n">
        <v>8</v>
      </c>
      <c r="E16" t="n">
        <v>480</v>
      </c>
    </row>
    <row r="17">
      <c r="A17" t="inlineStr">
        <is>
          <t>North</t>
        </is>
      </c>
      <c r="B17" t="inlineStr">
        <is>
          <t>Riley Chen</t>
        </is>
      </c>
      <c r="C17" t="inlineStr">
        <is>
          <t>Widget A</t>
        </is>
      </c>
      <c r="D17" t="n">
        <v>28</v>
      </c>
      <c r="E17" t="n">
        <v>25</v>
      </c>
    </row>
    <row r="18">
      <c r="A18" t="inlineStr">
        <is>
          <t>East</t>
        </is>
      </c>
      <c r="B18" t="inlineStr">
        <is>
          <t>Mina Okafor</t>
        </is>
      </c>
      <c r="C18" t="inlineStr">
        <is>
          <t>Widget B</t>
        </is>
      </c>
      <c r="D18" t="n">
        <v>15</v>
      </c>
      <c r="E18" t="n">
        <v>130.5</v>
      </c>
    </row>
    <row r="19">
      <c r="A19" t="inlineStr">
        <is>
          <t>South</t>
        </is>
      </c>
      <c r="B19" t="inlineStr">
        <is>
          <t>Sam Cole</t>
        </is>
      </c>
      <c r="C19" t="inlineStr">
        <is>
          <t>Widget B</t>
        </is>
      </c>
      <c r="D19" t="n">
        <v>12</v>
      </c>
      <c r="E19" t="n">
        <v>130.5</v>
      </c>
    </row>
    <row r="20">
      <c r="A20" t="inlineStr">
        <is>
          <t>North</t>
        </is>
      </c>
      <c r="B20" t="inlineStr">
        <is>
          <t>Mina Okafor</t>
        </is>
      </c>
      <c r="C20" t="inlineStr">
        <is>
          <t>Widget C</t>
        </is>
      </c>
      <c r="D20" t="n">
        <v>30</v>
      </c>
      <c r="E20" t="n">
        <v>480</v>
      </c>
    </row>
    <row r="21">
      <c r="A21" t="inlineStr">
        <is>
          <t>South</t>
        </is>
      </c>
      <c r="B21" t="inlineStr">
        <is>
          <t>Mina Okafor</t>
        </is>
      </c>
      <c r="C21" t="inlineStr">
        <is>
          <t>Widget C</t>
        </is>
      </c>
      <c r="D21" t="n">
        <v>24</v>
      </c>
      <c r="E21" t="n">
        <v>480</v>
      </c>
    </row>
    <row r="22">
      <c r="A22" t="inlineStr">
        <is>
          <t>East</t>
        </is>
      </c>
      <c r="B22" t="inlineStr">
        <is>
          <t>Mina Okafor</t>
        </is>
      </c>
      <c r="C22" t="inlineStr">
        <is>
          <t>Widget B</t>
        </is>
      </c>
      <c r="D22" t="n">
        <v>13</v>
      </c>
      <c r="E22" t="n">
        <v>130.5</v>
      </c>
    </row>
    <row r="23">
      <c r="A23" t="inlineStr">
        <is>
          <t>North</t>
        </is>
      </c>
      <c r="B23" t="inlineStr">
        <is>
          <t>Mina Okafor</t>
        </is>
      </c>
      <c r="C23" t="inlineStr">
        <is>
          <t>Widget C</t>
        </is>
      </c>
      <c r="D23" t="n">
        <v>11</v>
      </c>
      <c r="E23" t="n">
        <v>480</v>
      </c>
    </row>
    <row r="24">
      <c r="A24" t="inlineStr">
        <is>
          <t>East</t>
        </is>
      </c>
      <c r="B24" t="inlineStr">
        <is>
          <t>Riley Chen</t>
        </is>
      </c>
      <c r="C24" t="inlineStr">
        <is>
          <t>Widget A</t>
        </is>
      </c>
      <c r="D24" t="n">
        <v>26</v>
      </c>
      <c r="E24" t="n">
        <v>25</v>
      </c>
    </row>
    <row r="25">
      <c r="A25" t="inlineStr">
        <is>
          <t>South</t>
        </is>
      </c>
      <c r="B25" t="inlineStr">
        <is>
          <t>Sam Cole</t>
        </is>
      </c>
      <c r="C25" t="inlineStr">
        <is>
          <t>Widget B</t>
        </is>
      </c>
      <c r="D25" t="n">
        <v>3</v>
      </c>
      <c r="E25" t="n">
        <v>130.5</v>
      </c>
    </row>
    <row r="26">
      <c r="A26" t="inlineStr">
        <is>
          <t>West</t>
        </is>
      </c>
      <c r="B26" t="inlineStr">
        <is>
          <t>Riley Chen</t>
        </is>
      </c>
      <c r="C26" t="inlineStr">
        <is>
          <t>Widget A</t>
        </is>
      </c>
      <c r="D26" t="n">
        <v>21</v>
      </c>
      <c r="E26" t="n">
        <v>25</v>
      </c>
    </row>
    <row r="27">
      <c r="A27" t="inlineStr">
        <is>
          <t>South</t>
        </is>
      </c>
      <c r="B27" t="inlineStr">
        <is>
          <t>Sam Cole</t>
        </is>
      </c>
      <c r="C27" t="inlineStr">
        <is>
          <t>Widget C</t>
        </is>
      </c>
      <c r="D27" t="n">
        <v>15</v>
      </c>
      <c r="E27" t="n">
        <v>480</v>
      </c>
    </row>
    <row r="28">
      <c r="A28" t="inlineStr">
        <is>
          <t>East</t>
        </is>
      </c>
      <c r="B28" t="inlineStr">
        <is>
          <t>Riley Chen</t>
        </is>
      </c>
      <c r="C28" t="inlineStr">
        <is>
          <t>Widget A</t>
        </is>
      </c>
      <c r="D28" t="n">
        <v>8</v>
      </c>
      <c r="E28" t="n">
        <v>25</v>
      </c>
    </row>
    <row r="29">
      <c r="A29" t="inlineStr">
        <is>
          <t>East</t>
        </is>
      </c>
      <c r="B29" t="inlineStr">
        <is>
          <t>Mina Okafor</t>
        </is>
      </c>
      <c r="C29" t="inlineStr">
        <is>
          <t>Widget C</t>
        </is>
      </c>
      <c r="D29" t="n">
        <v>13</v>
      </c>
      <c r="E29" t="n">
        <v>480</v>
      </c>
    </row>
    <row r="30">
      <c r="A30" t="inlineStr">
        <is>
          <t>West</t>
        </is>
      </c>
      <c r="B30" t="inlineStr">
        <is>
          <t>Jordan Ade</t>
        </is>
      </c>
      <c r="C30" t="inlineStr">
        <is>
          <t>Widget A</t>
        </is>
      </c>
      <c r="D30" t="n">
        <v>17</v>
      </c>
      <c r="E30" t="n">
        <v>25</v>
      </c>
    </row>
    <row r="31">
      <c r="A31" t="inlineStr">
        <is>
          <t>North</t>
        </is>
      </c>
      <c r="B31" t="inlineStr">
        <is>
          <t>Mina Okafor</t>
        </is>
      </c>
      <c r="C31" t="inlineStr">
        <is>
          <t>Widget A</t>
        </is>
      </c>
      <c r="D31" t="n">
        <v>28</v>
      </c>
      <c r="E31" t="n">
        <v>25</v>
      </c>
    </row>
    <row r="32">
      <c r="A32" t="inlineStr">
        <is>
          <t>West</t>
        </is>
      </c>
      <c r="B32" t="inlineStr">
        <is>
          <t>Jordan Ade</t>
        </is>
      </c>
      <c r="C32" t="inlineStr">
        <is>
          <t>Widget C</t>
        </is>
      </c>
      <c r="D32" t="n">
        <v>6</v>
      </c>
      <c r="E32" t="n">
        <v>480</v>
      </c>
    </row>
    <row r="33">
      <c r="A33" t="inlineStr">
        <is>
          <t>West</t>
        </is>
      </c>
      <c r="B33" t="inlineStr">
        <is>
          <t>Sam Cole</t>
        </is>
      </c>
      <c r="C33" t="inlineStr">
        <is>
          <t>Widget B</t>
        </is>
      </c>
      <c r="D33" t="n">
        <v>13</v>
      </c>
      <c r="E33" t="n">
        <v>130.5</v>
      </c>
    </row>
    <row r="34">
      <c r="A34" t="inlineStr">
        <is>
          <t>North</t>
        </is>
      </c>
      <c r="B34" t="inlineStr">
        <is>
          <t>Jordan Ade</t>
        </is>
      </c>
      <c r="C34" t="inlineStr">
        <is>
          <t>Widget C</t>
        </is>
      </c>
      <c r="D34" t="n">
        <v>28</v>
      </c>
      <c r="E34" t="n">
        <v>480</v>
      </c>
    </row>
    <row r="35">
      <c r="A35" t="inlineStr">
        <is>
          <t>East</t>
        </is>
      </c>
      <c r="B35" t="inlineStr">
        <is>
          <t>Sam Cole</t>
        </is>
      </c>
      <c r="C35" t="inlineStr">
        <is>
          <t>Widget C</t>
        </is>
      </c>
      <c r="D35" t="n">
        <v>29</v>
      </c>
      <c r="E35" t="n">
        <v>480</v>
      </c>
    </row>
    <row r="36">
      <c r="A36" t="inlineStr">
        <is>
          <t>West</t>
        </is>
      </c>
      <c r="B36" t="inlineStr">
        <is>
          <t>Mina Okafor</t>
        </is>
      </c>
      <c r="C36" t="inlineStr">
        <is>
          <t>Widget A</t>
        </is>
      </c>
      <c r="D36" t="n">
        <v>10</v>
      </c>
      <c r="E36" t="n">
        <v>25</v>
      </c>
    </row>
    <row r="37">
      <c r="A37" t="inlineStr">
        <is>
          <t>East</t>
        </is>
      </c>
      <c r="B37" t="inlineStr">
        <is>
          <t>Mina Okafor</t>
        </is>
      </c>
      <c r="C37" t="inlineStr">
        <is>
          <t>Widget B</t>
        </is>
      </c>
      <c r="D37" t="n">
        <v>1</v>
      </c>
      <c r="E37" t="n">
        <v>130.5</v>
      </c>
    </row>
    <row r="38">
      <c r="A38" t="inlineStr">
        <is>
          <t>North</t>
        </is>
      </c>
      <c r="B38" t="inlineStr">
        <is>
          <t>Sam Cole</t>
        </is>
      </c>
      <c r="C38" t="inlineStr">
        <is>
          <t>Widget C</t>
        </is>
      </c>
      <c r="D38" t="n">
        <v>30</v>
      </c>
      <c r="E38" t="n">
        <v>480</v>
      </c>
    </row>
    <row r="39">
      <c r="A39" t="inlineStr">
        <is>
          <t>South</t>
        </is>
      </c>
      <c r="B39" t="inlineStr">
        <is>
          <t>Mina Okafor</t>
        </is>
      </c>
      <c r="C39" t="inlineStr">
        <is>
          <t>Widget C</t>
        </is>
      </c>
      <c r="D39" t="n">
        <v>17</v>
      </c>
      <c r="E39" t="n">
        <v>480</v>
      </c>
    </row>
    <row r="40">
      <c r="A40" t="inlineStr">
        <is>
          <t>South</t>
        </is>
      </c>
      <c r="B40" t="inlineStr">
        <is>
          <t>Jordan Ade</t>
        </is>
      </c>
      <c r="C40" t="inlineStr">
        <is>
          <t>Widget B</t>
        </is>
      </c>
      <c r="D40" t="n">
        <v>25</v>
      </c>
      <c r="E40" t="n">
        <v>130.5</v>
      </c>
    </row>
    <row r="41">
      <c r="A41" t="inlineStr">
        <is>
          <t>West</t>
        </is>
      </c>
      <c r="B41" t="inlineStr">
        <is>
          <t>Jordan Ade</t>
        </is>
      </c>
      <c r="C41" t="inlineStr">
        <is>
          <t>Widget C</t>
        </is>
      </c>
      <c r="D41" t="n">
        <v>11</v>
      </c>
      <c r="E41" t="n">
        <v>480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27" customWidth="1" min="3" max="3"/>
  </cols>
  <sheetData>
    <row r="1">
      <c r="A1" s="1" t="inlineStr">
        <is>
          <t>#</t>
        </is>
      </c>
      <c r="B1" s="1" t="inlineStr">
        <is>
          <t>Task (write the formula in Data columns F and G)</t>
        </is>
      </c>
      <c r="C1" s="1" t="inlineStr">
        <is>
          <t>Expected result to match</t>
        </is>
      </c>
    </row>
    <row r="2">
      <c r="A2" t="n">
        <v>1</v>
      </c>
      <c r="B2" t="inlineStr">
        <is>
          <t>Data!F2: revenue for this row (Units * Unit Price), filled down to row 41</t>
        </is>
      </c>
      <c r="C2" t="inlineStr">
        <is>
          <t>80 rows of revenue</t>
        </is>
      </c>
    </row>
    <row r="3">
      <c r="A3" t="n">
        <v>2</v>
      </c>
      <c r="B3" t="inlineStr">
        <is>
          <t>Data!G2: commission = Revenue * 8% if Units &gt;= 15, else Revenue * 5% (IF), filled down</t>
        </is>
      </c>
      <c r="C3" t="inlineStr">
        <is>
          <t>Two commission rates</t>
        </is>
      </c>
    </row>
    <row r="4">
      <c r="A4" t="n">
        <v>3</v>
      </c>
      <c r="B4" t="inlineStr">
        <is>
          <t>In I2: total revenue for all rows (SUM)</t>
        </is>
      </c>
      <c r="C4" t="inlineStr">
        <is>
          <t>Matches SUM of column F</t>
        </is>
      </c>
    </row>
    <row r="5">
      <c r="A5" t="n">
        <v>4</v>
      </c>
      <c r="B5" t="inlineStr">
        <is>
          <t>In I3: average units per order (AVERAGE), 1 decimal</t>
        </is>
      </c>
      <c r="C5" t="inlineStr"/>
    </row>
    <row r="6">
      <c r="A6" t="n">
        <v>5</v>
      </c>
      <c r="B6" t="inlineStr">
        <is>
          <t>In I4: number of orders with Units &gt; 20 (COUNTIF)</t>
        </is>
      </c>
      <c r="C6" t="inlineStr"/>
    </row>
    <row r="7">
      <c r="A7" t="n">
        <v>6</v>
      </c>
      <c r="B7" t="inlineStr">
        <is>
          <t>In I5: revenue for Region = North only (SUMIF)</t>
        </is>
      </c>
      <c r="C7" t="inlineStr"/>
    </row>
    <row r="8">
      <c r="A8" t="n">
        <v>7</v>
      </c>
      <c r="B8" t="inlineStr">
        <is>
          <t>In I6: revenue per region for all 4 regions (SUMIFS grid in I6:L7)</t>
        </is>
      </c>
      <c r="C8" t="inlineStr"/>
    </row>
    <row r="9">
      <c r="A9" t="n">
        <v>8</v>
      </c>
      <c r="B9" t="inlineStr">
        <is>
          <t>In I8: highest single-order revenue (MAX)</t>
        </is>
      </c>
      <c r="C9" t="inlineStr"/>
    </row>
    <row r="10">
      <c r="A10" t="n">
        <v>9</v>
      </c>
      <c r="B10" t="inlineStr">
        <is>
          <t>In I9: the Rep name of that highest order (INDEX/MATCH)</t>
        </is>
      </c>
      <c r="C10" t="inlineStr"/>
    </row>
    <row r="11">
      <c r="A11" t="n">
        <v>10</v>
      </c>
      <c r="B11" t="inlineStr">
        <is>
          <t>In I10: total revenue rounded to whole dollars (ROUND + SUM)</t>
        </is>
      </c>
      <c r="C11" t="inlineStr"/>
    </row>
    <row r="12">
      <c r="A12" t="n">
        <v>11</v>
      </c>
      <c r="B12" t="inlineStr">
        <is>
          <t>In I11: IFERROR-protected lookup: VLOOKUP 'Widget Z' price from a small table, show 'Not found'</t>
        </is>
      </c>
      <c r="C12" t="inlineStr"/>
    </row>
    <row r="13">
      <c r="A13" t="n">
        <v>12</v>
      </c>
      <c r="B13" t="inlineStr">
        <is>
          <t>In I12: text join: 'Top rep: ' + the name in I9 (CONCAT)</t>
        </is>
      </c>
      <c r="C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24" customWidth="1" min="3" max="3"/>
  </cols>
  <sheetData>
    <row r="1">
      <c r="A1" s="1" t="inlineStr">
        <is>
          <t>#</t>
        </is>
      </c>
      <c r="B1" s="1" t="inlineStr">
        <is>
          <t>Model formula</t>
        </is>
      </c>
      <c r="C1" s="1" t="inlineStr">
        <is>
          <t>Note</t>
        </is>
      </c>
    </row>
    <row r="2">
      <c r="A2" t="n">
        <v>1</v>
      </c>
      <c r="B2">
        <f>E2*D2</f>
        <v/>
      </c>
      <c r="C2" t="inlineStr">
        <is>
          <t>Fill down</t>
        </is>
      </c>
    </row>
    <row r="3">
      <c r="A3" t="n">
        <v>2</v>
      </c>
      <c r="B3">
        <f>IF(D2&gt;=15,F2*0.08,F2*0.05)</f>
        <v/>
      </c>
      <c r="C3" t="inlineStr">
        <is>
          <t>IF on Units</t>
        </is>
      </c>
    </row>
    <row r="4">
      <c r="A4" t="n">
        <v>3</v>
      </c>
      <c r="B4">
        <f>SUM(F2:F41)</f>
        <v/>
      </c>
      <c r="C4" t="inlineStr"/>
    </row>
    <row r="5">
      <c r="A5" t="n">
        <v>4</v>
      </c>
      <c r="B5">
        <f>ROUND(AVERAGE(D2:D41),1)</f>
        <v/>
      </c>
      <c r="C5" t="inlineStr"/>
    </row>
    <row r="6">
      <c r="A6" t="n">
        <v>5</v>
      </c>
      <c r="B6">
        <f>COUNTIF(D2:D41,"&gt;20")</f>
        <v/>
      </c>
      <c r="C6" t="inlineStr"/>
    </row>
    <row r="7">
      <c r="A7" t="n">
        <v>6</v>
      </c>
      <c r="B7">
        <f>SUMIF(A2:A41,"North",F2:F41)</f>
        <v/>
      </c>
      <c r="C7" t="inlineStr"/>
    </row>
    <row r="8">
      <c r="A8" t="n">
        <v>7</v>
      </c>
      <c r="B8">
        <f>SUMIFS($F$2:$F$41,$A$2:$A$41,I$7)</f>
        <v/>
      </c>
      <c r="C8" t="inlineStr">
        <is>
          <t>Region names in I7:L7</t>
        </is>
      </c>
    </row>
    <row r="9">
      <c r="A9" t="n">
        <v>8</v>
      </c>
      <c r="B9">
        <f>MAX(F2:F41)</f>
        <v/>
      </c>
      <c r="C9" t="inlineStr"/>
    </row>
    <row r="10">
      <c r="A10" t="n">
        <v>9</v>
      </c>
      <c r="B10">
        <f>INDEX(B2:B41,MATCH(MAX(F2:F41),F2:F41,0))</f>
        <v/>
      </c>
      <c r="C10" t="inlineStr">
        <is>
          <t>Exact match</t>
        </is>
      </c>
    </row>
    <row r="11">
      <c r="A11" t="n">
        <v>10</v>
      </c>
      <c r="B11">
        <f>ROUND(SUM(F2:F41),0)</f>
        <v/>
      </c>
      <c r="C11" t="inlineStr"/>
    </row>
    <row r="12">
      <c r="A12" t="n">
        <v>11</v>
      </c>
      <c r="B12">
        <f>IFERROR(VLOOKUP("Widget Z",K2:L4,2,FALSE),"Not found")</f>
        <v/>
      </c>
      <c r="C12" t="inlineStr">
        <is>
          <t>Exact match VLOOKUP</t>
        </is>
      </c>
    </row>
    <row r="13">
      <c r="A13" t="n">
        <v>12</v>
      </c>
      <c r="B13">
        <f>"Top rep: "&amp;I9</f>
        <v/>
      </c>
      <c r="C13" t="inlineStr">
        <is>
          <t>Concat with &amp;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2026-09-22T13:37:58Z</dcterms:created>
  <dcterms:modified xmlns:dcterms="http://purl.org/dc/terms/" xmlns:xsi="http://www.w3.org/2001/XMLSchema-instance" xsi:type="dcterms:W3CDTF">2026-09-22T13:37:58Z</dcterms:modified>
</cp:coreProperties>
</file>